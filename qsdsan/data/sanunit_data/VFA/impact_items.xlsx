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ues/Documents/QSDsan/qsdsan/data/sanunit_data/vfa/"/>
    </mc:Choice>
  </mc:AlternateContent>
  <xr:revisionPtr revIDLastSave="0" documentId="13_ncr:1_{698E7783-B98B-114B-95D1-A46C79F785D6}" xr6:coauthVersionLast="47" xr6:coauthVersionMax="47" xr10:uidLastSave="{00000000-0000-0000-0000-000000000000}"/>
  <bookViews>
    <workbookView xWindow="32920" yWindow="-1980" windowWidth="29400" windowHeight="16760" activeTab="1" xr2:uid="{BD97E243-0BB4-3F42-9EBC-00D49E7EE019}"/>
  </bookViews>
  <sheets>
    <sheet name="info" sheetId="2" r:id="rId1"/>
    <sheet name="GlobalWarm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D10" i="1"/>
  <c r="E10" i="1"/>
  <c r="D11" i="1"/>
  <c r="E11" i="1"/>
  <c r="D2" i="1"/>
  <c r="E2" i="1"/>
  <c r="D3" i="1"/>
  <c r="E3" i="1"/>
  <c r="D4" i="1"/>
  <c r="E4" i="1"/>
  <c r="D5" i="1"/>
  <c r="E5" i="1"/>
  <c r="D6" i="1"/>
  <c r="E6" i="1"/>
  <c r="D7" i="1"/>
  <c r="E7" i="1"/>
  <c r="E8" i="1"/>
  <c r="D8" i="1"/>
</calcChain>
</file>

<file path=xl/sharedStrings.xml><?xml version="1.0" encoding="utf-8"?>
<sst xmlns="http://schemas.openxmlformats.org/spreadsheetml/2006/main" count="105" uniqueCount="36">
  <si>
    <t>uniform</t>
  </si>
  <si>
    <t>references</t>
  </si>
  <si>
    <t>distribution</t>
  </si>
  <si>
    <t>high</t>
  </si>
  <si>
    <t>low</t>
  </si>
  <si>
    <t>expected</t>
  </si>
  <si>
    <t>ID</t>
  </si>
  <si>
    <t>unit</t>
  </si>
  <si>
    <t>kg CO2-eq</t>
  </si>
  <si>
    <t>ecoinvent 3.8 - cutoff, TRACI</t>
  </si>
  <si>
    <t>Aluminum</t>
  </si>
  <si>
    <t>Silicon</t>
  </si>
  <si>
    <t>Copper</t>
  </si>
  <si>
    <t>CarbonCloth</t>
  </si>
  <si>
    <t>CurrentCollector</t>
  </si>
  <si>
    <t>SiliconeSpacer</t>
  </si>
  <si>
    <t>IEM</t>
  </si>
  <si>
    <t>Housing</t>
  </si>
  <si>
    <t>Piping</t>
  </si>
  <si>
    <t>StainlessSteel</t>
  </si>
  <si>
    <t>ecoinvent 3.11 - cutoff, TRACI v2.1 LT</t>
  </si>
  <si>
    <t>notes</t>
  </si>
  <si>
    <t>market for steel, chromium steel 18/8, GLO, including the transforming activity that produces the chromium steel and transportation and loss during transport to consumers of this product</t>
  </si>
  <si>
    <t>method</t>
  </si>
  <si>
    <t>geography</t>
  </si>
  <si>
    <t>Europe (PER)</t>
  </si>
  <si>
    <t>https://ecoquery.ecoinvent.org/3.11/cutoff/dataset/3468/documentation</t>
  </si>
  <si>
    <t>ElectricMotor</t>
  </si>
  <si>
    <t>Polymer</t>
  </si>
  <si>
    <t>AugerConveyor</t>
  </si>
  <si>
    <t>WasteSludge</t>
  </si>
  <si>
    <t>functional_unit</t>
  </si>
  <si>
    <t>kg</t>
  </si>
  <si>
    <t>m</t>
  </si>
  <si>
    <t>ea</t>
  </si>
  <si>
    <t>HDPE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</si>
</sst>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D79F-DE6E-0748-9640-80C06206B878}">
  <dimension ref="A1:B16"/>
  <sheetViews>
    <sheetView zoomScale="200" zoomScaleNormal="200" workbookViewId="0">
      <selection activeCell="B16" sqref="B16"/>
    </sheetView>
  </sheetViews>
  <sheetFormatPr baseColWidth="10" defaultRowHeight="16" x14ac:dyDescent="0.2"/>
  <sheetData>
    <row r="1" spans="1:2" x14ac:dyDescent="0.2">
      <c r="A1" s="1" t="s">
        <v>6</v>
      </c>
      <c r="B1" s="1" t="s">
        <v>31</v>
      </c>
    </row>
    <row r="2" spans="1:2" x14ac:dyDescent="0.2">
      <c r="A2" t="s">
        <v>13</v>
      </c>
      <c r="B2" t="s">
        <v>32</v>
      </c>
    </row>
    <row r="3" spans="1:2" x14ac:dyDescent="0.2">
      <c r="A3" t="s">
        <v>14</v>
      </c>
      <c r="B3" t="s">
        <v>32</v>
      </c>
    </row>
    <row r="4" spans="1:2" x14ac:dyDescent="0.2">
      <c r="A4" t="s">
        <v>15</v>
      </c>
      <c r="B4" t="s">
        <v>32</v>
      </c>
    </row>
    <row r="5" spans="1:2" x14ac:dyDescent="0.2">
      <c r="A5" t="s">
        <v>16</v>
      </c>
      <c r="B5" t="s">
        <v>32</v>
      </c>
    </row>
    <row r="6" spans="1:2" x14ac:dyDescent="0.2">
      <c r="A6" t="s">
        <v>17</v>
      </c>
      <c r="B6" t="s">
        <v>32</v>
      </c>
    </row>
    <row r="7" spans="1:2" x14ac:dyDescent="0.2">
      <c r="A7" t="s">
        <v>18</v>
      </c>
      <c r="B7" t="s">
        <v>33</v>
      </c>
    </row>
    <row r="8" spans="1:2" x14ac:dyDescent="0.2">
      <c r="A8" t="s">
        <v>19</v>
      </c>
      <c r="B8" t="s">
        <v>32</v>
      </c>
    </row>
    <row r="9" spans="1:2" x14ac:dyDescent="0.2">
      <c r="A9" t="s">
        <v>10</v>
      </c>
      <c r="B9" t="s">
        <v>32</v>
      </c>
    </row>
    <row r="10" spans="1:2" x14ac:dyDescent="0.2">
      <c r="A10" t="s">
        <v>11</v>
      </c>
      <c r="B10" t="s">
        <v>32</v>
      </c>
    </row>
    <row r="11" spans="1:2" x14ac:dyDescent="0.2">
      <c r="A11" t="s">
        <v>12</v>
      </c>
      <c r="B11" t="s">
        <v>32</v>
      </c>
    </row>
    <row r="12" spans="1:2" x14ac:dyDescent="0.2">
      <c r="A12" t="s">
        <v>27</v>
      </c>
      <c r="B12" t="s">
        <v>34</v>
      </c>
    </row>
    <row r="13" spans="1:2" x14ac:dyDescent="0.2">
      <c r="A13" t="s">
        <v>28</v>
      </c>
      <c r="B13" t="s">
        <v>32</v>
      </c>
    </row>
    <row r="14" spans="1:2" x14ac:dyDescent="0.2">
      <c r="A14" t="s">
        <v>29</v>
      </c>
      <c r="B14" t="s">
        <v>33</v>
      </c>
    </row>
    <row r="15" spans="1:2" x14ac:dyDescent="0.2">
      <c r="A15" t="s">
        <v>30</v>
      </c>
      <c r="B15" t="s">
        <v>32</v>
      </c>
    </row>
    <row r="16" spans="1:2" x14ac:dyDescent="0.2">
      <c r="A16" t="s">
        <v>35</v>
      </c>
      <c r="B1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7DAA-889C-6942-A3B5-3C8A993554C1}">
  <dimension ref="A1:J16"/>
  <sheetViews>
    <sheetView tabSelected="1" topLeftCell="A5" zoomScale="230" zoomScaleNormal="230" workbookViewId="0">
      <selection activeCell="D16" sqref="D16"/>
    </sheetView>
  </sheetViews>
  <sheetFormatPr baseColWidth="10" defaultColWidth="10.6640625" defaultRowHeight="16" x14ac:dyDescent="0.2"/>
  <cols>
    <col min="1" max="1" width="26.6640625" bestFit="1" customWidth="1"/>
    <col min="2" max="2" width="9.5" bestFit="1" customWidth="1"/>
    <col min="7" max="7" width="44.83203125" bestFit="1" customWidth="1"/>
    <col min="8" max="8" width="44.83203125" customWidth="1"/>
  </cols>
  <sheetData>
    <row r="1" spans="1:10" x14ac:dyDescent="0.2">
      <c r="A1" s="1" t="s">
        <v>6</v>
      </c>
      <c r="B1" s="1" t="s">
        <v>7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23</v>
      </c>
      <c r="H1" s="1" t="s">
        <v>24</v>
      </c>
      <c r="I1" s="1" t="s">
        <v>21</v>
      </c>
      <c r="J1" s="1" t="s">
        <v>1</v>
      </c>
    </row>
    <row r="2" spans="1:10" x14ac:dyDescent="0.2">
      <c r="A2" t="s">
        <v>13</v>
      </c>
      <c r="B2" t="s">
        <v>8</v>
      </c>
      <c r="C2">
        <v>54</v>
      </c>
      <c r="D2">
        <f t="shared" ref="D2:D11" si="0">0.7*C2</f>
        <v>37.799999999999997</v>
      </c>
      <c r="E2">
        <f t="shared" ref="E2:E7" si="1">C2*1.3</f>
        <v>70.2</v>
      </c>
      <c r="F2" t="s">
        <v>0</v>
      </c>
      <c r="G2" t="s">
        <v>9</v>
      </c>
    </row>
    <row r="3" spans="1:10" x14ac:dyDescent="0.2">
      <c r="A3" t="s">
        <v>14</v>
      </c>
      <c r="B3" t="s">
        <v>8</v>
      </c>
      <c r="C3">
        <v>0.11600000000000001</v>
      </c>
      <c r="D3">
        <f t="shared" si="0"/>
        <v>8.1199999999999994E-2</v>
      </c>
      <c r="E3">
        <f t="shared" si="1"/>
        <v>0.15080000000000002</v>
      </c>
      <c r="F3" t="s">
        <v>0</v>
      </c>
      <c r="G3" t="s">
        <v>9</v>
      </c>
    </row>
    <row r="4" spans="1:10" x14ac:dyDescent="0.2">
      <c r="A4" t="s">
        <v>15</v>
      </c>
      <c r="B4" t="s">
        <v>8</v>
      </c>
      <c r="C4">
        <v>3.06</v>
      </c>
      <c r="D4">
        <f t="shared" si="0"/>
        <v>2.1419999999999999</v>
      </c>
      <c r="E4">
        <f t="shared" si="1"/>
        <v>3.9780000000000002</v>
      </c>
      <c r="F4" t="s">
        <v>0</v>
      </c>
      <c r="G4" t="s">
        <v>9</v>
      </c>
    </row>
    <row r="5" spans="1:10" x14ac:dyDescent="0.2">
      <c r="A5" s="3" t="s">
        <v>16</v>
      </c>
      <c r="B5" t="s">
        <v>8</v>
      </c>
      <c r="C5">
        <v>8.2361676999999993</v>
      </c>
      <c r="D5">
        <f t="shared" si="0"/>
        <v>5.765317389999999</v>
      </c>
      <c r="E5">
        <f t="shared" si="1"/>
        <v>10.707018009999999</v>
      </c>
      <c r="F5" t="s">
        <v>0</v>
      </c>
      <c r="G5" t="s">
        <v>9</v>
      </c>
    </row>
    <row r="6" spans="1:10" x14ac:dyDescent="0.2">
      <c r="A6" t="s">
        <v>17</v>
      </c>
      <c r="B6" t="s">
        <v>8</v>
      </c>
      <c r="C6">
        <v>2.1800000000000002</v>
      </c>
      <c r="D6">
        <f t="shared" si="0"/>
        <v>1.526</v>
      </c>
      <c r="E6">
        <f t="shared" si="1"/>
        <v>2.8340000000000005</v>
      </c>
      <c r="F6" t="s">
        <v>0</v>
      </c>
      <c r="G6" t="s">
        <v>9</v>
      </c>
    </row>
    <row r="7" spans="1:10" x14ac:dyDescent="0.2">
      <c r="A7" t="s">
        <v>18</v>
      </c>
      <c r="B7" t="s">
        <v>8</v>
      </c>
      <c r="C7">
        <v>1.06</v>
      </c>
      <c r="D7">
        <f t="shared" si="0"/>
        <v>0.74199999999999999</v>
      </c>
      <c r="E7">
        <f t="shared" si="1"/>
        <v>1.3780000000000001</v>
      </c>
      <c r="F7" t="s">
        <v>0</v>
      </c>
      <c r="G7" t="s">
        <v>9</v>
      </c>
    </row>
    <row r="8" spans="1:10" x14ac:dyDescent="0.2">
      <c r="A8" s="2" t="s">
        <v>19</v>
      </c>
      <c r="B8" t="s">
        <v>8</v>
      </c>
      <c r="C8">
        <v>4.57</v>
      </c>
      <c r="D8">
        <f>0.7*C8</f>
        <v>3.1989999999999998</v>
      </c>
      <c r="E8">
        <f>C8*1.3</f>
        <v>5.9410000000000007</v>
      </c>
      <c r="F8" t="s">
        <v>0</v>
      </c>
      <c r="G8" t="s">
        <v>20</v>
      </c>
      <c r="H8" t="s">
        <v>25</v>
      </c>
      <c r="I8" t="s">
        <v>22</v>
      </c>
      <c r="J8" t="s">
        <v>26</v>
      </c>
    </row>
    <row r="9" spans="1:10" x14ac:dyDescent="0.2">
      <c r="A9" s="2" t="s">
        <v>10</v>
      </c>
      <c r="B9" t="s">
        <v>8</v>
      </c>
      <c r="C9">
        <v>5.4695463000000002</v>
      </c>
      <c r="D9">
        <f t="shared" si="0"/>
        <v>3.8286824099999999</v>
      </c>
      <c r="E9">
        <f t="shared" ref="E9:E11" si="2">C9*1.3</f>
        <v>7.1104101900000005</v>
      </c>
      <c r="F9" t="s">
        <v>0</v>
      </c>
      <c r="G9" t="s">
        <v>9</v>
      </c>
    </row>
    <row r="10" spans="1:10" x14ac:dyDescent="0.2">
      <c r="A10" s="2" t="s">
        <v>11</v>
      </c>
      <c r="B10" t="s">
        <v>8</v>
      </c>
      <c r="C10">
        <v>3.0634122000000001</v>
      </c>
      <c r="D10">
        <f t="shared" si="0"/>
        <v>2.14438854</v>
      </c>
      <c r="E10">
        <f t="shared" si="2"/>
        <v>3.9824358600000003</v>
      </c>
      <c r="F10" t="s">
        <v>0</v>
      </c>
      <c r="G10" t="s">
        <v>9</v>
      </c>
    </row>
    <row r="11" spans="1:10" x14ac:dyDescent="0.2">
      <c r="A11" s="2" t="s">
        <v>12</v>
      </c>
      <c r="B11" t="s">
        <v>8</v>
      </c>
      <c r="C11">
        <v>6.5752404999999996</v>
      </c>
      <c r="D11">
        <f t="shared" si="0"/>
        <v>4.6026683499999992</v>
      </c>
      <c r="E11">
        <f t="shared" si="2"/>
        <v>8.5478126499999991</v>
      </c>
      <c r="F11" t="s">
        <v>0</v>
      </c>
      <c r="G11" t="s">
        <v>9</v>
      </c>
    </row>
    <row r="12" spans="1:10" x14ac:dyDescent="0.2">
      <c r="A12" t="s">
        <v>27</v>
      </c>
      <c r="B12" t="s">
        <v>8</v>
      </c>
      <c r="C12">
        <v>5685</v>
      </c>
      <c r="D12">
        <v>4548</v>
      </c>
      <c r="E12">
        <v>6822</v>
      </c>
      <c r="F12" t="s">
        <v>0</v>
      </c>
      <c r="G12" t="s">
        <v>20</v>
      </c>
    </row>
    <row r="13" spans="1:10" x14ac:dyDescent="0.2">
      <c r="A13" t="s">
        <v>28</v>
      </c>
      <c r="B13" t="s">
        <v>8</v>
      </c>
      <c r="C13">
        <v>5.19</v>
      </c>
      <c r="D13">
        <v>3.633</v>
      </c>
      <c r="E13">
        <v>6.7470000000000008</v>
      </c>
      <c r="F13" t="s">
        <v>0</v>
      </c>
      <c r="G13" t="s">
        <v>20</v>
      </c>
    </row>
    <row r="14" spans="1:10" x14ac:dyDescent="0.2">
      <c r="A14" t="s">
        <v>29</v>
      </c>
      <c r="B14" t="s">
        <v>8</v>
      </c>
      <c r="C14">
        <v>1400</v>
      </c>
      <c r="D14">
        <v>979.99999999999989</v>
      </c>
      <c r="E14">
        <v>1820</v>
      </c>
      <c r="F14" t="s">
        <v>0</v>
      </c>
      <c r="G14" t="s">
        <v>20</v>
      </c>
    </row>
    <row r="15" spans="1:10" x14ac:dyDescent="0.2">
      <c r="A15" t="s">
        <v>30</v>
      </c>
      <c r="B15" t="s">
        <v>8</v>
      </c>
      <c r="C15">
        <v>0.29199999999999998</v>
      </c>
      <c r="D15">
        <v>0.2044</v>
      </c>
      <c r="E15">
        <v>0.37959999999999999</v>
      </c>
      <c r="F15" t="s">
        <v>0</v>
      </c>
      <c r="G15" t="s">
        <v>20</v>
      </c>
    </row>
    <row r="16" spans="1:10" x14ac:dyDescent="0.2">
      <c r="A16" t="s">
        <v>35</v>
      </c>
      <c r="B16" t="s">
        <v>8</v>
      </c>
      <c r="C16">
        <v>2.75</v>
      </c>
      <c r="F16" t="s">
        <v>0</v>
      </c>
      <c r="G16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GlobalWarming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Shi, Buai</cp:lastModifiedBy>
  <dcterms:created xsi:type="dcterms:W3CDTF">2020-11-13T14:42:01Z</dcterms:created>
  <dcterms:modified xsi:type="dcterms:W3CDTF">2026-04-06T15:52:28Z</dcterms:modified>
</cp:coreProperties>
</file>